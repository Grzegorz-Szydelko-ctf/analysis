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hidePivotFieldList="1"/>
  <xr:revisionPtr revIDLastSave="0" documentId="8_{E15F02AC-D492-4678-B028-94A19E500D89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Data" sheetId="1" r:id="rId1"/>
    <sheet name="Forecast- calculations" sheetId="3" r:id="rId2"/>
    <sheet name="2024 Distribution - calculation" sheetId="4" r:id="rId3"/>
    <sheet name="Trend - calculations" sheetId="6" r:id="rId4"/>
    <sheet name="Dashborads" sheetId="2" r:id="rId5"/>
  </sheets>
  <calcPr calcId="191028"/>
  <pivotCaches>
    <pivotCache cacheId="442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4" l="1"/>
  <c r="A17" i="4" a="1"/>
  <c r="A17" i="4"/>
  <c r="Q14" i="2"/>
  <c r="Q13" i="2"/>
  <c r="Q12" i="2"/>
  <c r="Q11" i="2"/>
  <c r="Q10" i="2"/>
  <c r="Q9" i="2"/>
  <c r="Q8" i="2"/>
  <c r="Q7" i="2"/>
  <c r="Q6" i="2"/>
  <c r="Q5" i="2"/>
  <c r="B13" i="3"/>
  <c r="B14" i="3"/>
  <c r="B15" i="3"/>
  <c r="B16" i="3"/>
  <c r="B12" i="3"/>
  <c r="E13" i="3"/>
  <c r="E14" i="3"/>
  <c r="E15" i="3"/>
  <c r="E16" i="3"/>
  <c r="E12" i="3"/>
  <c r="F16" i="3"/>
  <c r="F14" i="3"/>
  <c r="F15" i="3"/>
  <c r="F13" i="3"/>
  <c r="F12" i="3"/>
  <c r="C4" i="3"/>
  <c r="C5" i="3"/>
  <c r="C6" i="3"/>
  <c r="C7" i="3"/>
  <c r="C8" i="3"/>
  <c r="C9" i="3"/>
  <c r="C10" i="3"/>
  <c r="C11" i="3"/>
  <c r="C3" i="3"/>
  <c r="C2" i="3"/>
  <c r="F3" i="3"/>
  <c r="F4" i="3"/>
  <c r="F5" i="3"/>
  <c r="F6" i="3"/>
  <c r="F7" i="3"/>
  <c r="F8" i="3"/>
  <c r="F9" i="3"/>
  <c r="F10" i="3"/>
  <c r="F11" i="3"/>
  <c r="F2" i="3"/>
  <c r="E3" i="3"/>
  <c r="E4" i="3"/>
  <c r="E5" i="3"/>
  <c r="E6" i="3"/>
  <c r="E7" i="3"/>
  <c r="E8" i="3"/>
  <c r="E9" i="3"/>
  <c r="E10" i="3"/>
  <c r="E11" i="3"/>
  <c r="E2" i="3"/>
  <c r="L3" i="1"/>
  <c r="L4" i="1"/>
  <c r="L5" i="1"/>
  <c r="L6" i="1"/>
  <c r="L7" i="1"/>
  <c r="L8" i="1"/>
  <c r="L9" i="1"/>
  <c r="L10" i="1"/>
  <c r="L11" i="1"/>
  <c r="L2" i="1"/>
  <c r="E43" i="4" l="1"/>
  <c r="E44" i="4"/>
  <c r="E45" i="4"/>
  <c r="E46" i="4"/>
  <c r="E47" i="4"/>
  <c r="E48" i="4"/>
  <c r="E49" i="4"/>
  <c r="E50" i="4"/>
  <c r="E51" i="4"/>
  <c r="E42" i="4"/>
  <c r="B29" i="4"/>
  <c r="A29" i="4"/>
  <c r="B30" i="4"/>
  <c r="B31" i="4"/>
  <c r="B32" i="4"/>
  <c r="B33" i="4"/>
  <c r="B34" i="4"/>
  <c r="B35" i="4"/>
  <c r="B36" i="4"/>
  <c r="B37" i="4"/>
  <c r="B38" i="4"/>
  <c r="A37" i="4"/>
  <c r="A38" i="4"/>
  <c r="A35" i="4"/>
  <c r="A36" i="4"/>
  <c r="A30" i="4"/>
  <c r="A31" i="4"/>
  <c r="A32" i="4"/>
  <c r="A33" i="4"/>
  <c r="A3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<sst xmlns="http://schemas.openxmlformats.org/spreadsheetml/2006/main" count="72" uniqueCount="32">
  <si>
    <t>Year</t>
  </si>
  <si>
    <t>Offensive and Illegal Content</t>
  </si>
  <si>
    <t>Malware</t>
  </si>
  <si>
    <t>Information Gathering</t>
  </si>
  <si>
    <t>Intrusion Attempts</t>
  </si>
  <si>
    <t>Successful Intrusions</t>
  </si>
  <si>
    <t>Resource Availability</t>
  </si>
  <si>
    <t>Information Security Attacks</t>
  </si>
  <si>
    <t>Fraudulent Activity</t>
  </si>
  <si>
    <t>Vulnerable Services</t>
  </si>
  <si>
    <t>Others</t>
  </si>
  <si>
    <t>Total</t>
  </si>
  <si>
    <t>Sum of Total</t>
  </si>
  <si>
    <t>growth</t>
  </si>
  <si>
    <t>x</t>
  </si>
  <si>
    <t>agresive forecast</t>
  </si>
  <si>
    <t>conservative forecast</t>
  </si>
  <si>
    <t>1634 Total</t>
  </si>
  <si>
    <t>97,995 Total</t>
  </si>
  <si>
    <t>62 Total</t>
  </si>
  <si>
    <t>447 Total</t>
  </si>
  <si>
    <t>426 Total</t>
  </si>
  <si>
    <t>179 Total</t>
  </si>
  <si>
    <t>26 Total</t>
  </si>
  <si>
    <t>1,891 Total</t>
  </si>
  <si>
    <t>775 Total</t>
  </si>
  <si>
    <t>CATEGORY</t>
  </si>
  <si>
    <t>NUMBER</t>
  </si>
  <si>
    <t>%</t>
  </si>
  <si>
    <t>Year-over-year growth</t>
  </si>
  <si>
    <t>Number of incidents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</si>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</sst>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NumberFormat="1" applyFont="1" applyBorder="1" applyAlignment="1">
      <alignment readingOrder="1"/>
    </xf>
    <xf numFmtId="0" fontId="1" fillId="0" borderId="7" xfId="0" applyNumberFormat="1" applyFont="1" applyBorder="1" applyAlignment="1">
      <alignment readingOrder="1"/>
    </xf>
    <xf numFmtId="3" fontId="1" fillId="0" borderId="5" xfId="0" applyNumberFormat="1" applyFont="1" applyBorder="1" applyAlignment="1">
      <alignment readingOrder="1"/>
    </xf>
    <xf numFmtId="3" fontId="1" fillId="0" borderId="6" xfId="0" applyNumberFormat="1" applyFont="1" applyBorder="1" applyAlignment="1">
      <alignment readingOrder="1"/>
    </xf>
    <xf numFmtId="3" fontId="1" fillId="0" borderId="8" xfId="0" applyNumberFormat="1" applyFont="1" applyBorder="1" applyAlignment="1">
      <alignment readingOrder="1"/>
    </xf>
    <xf numFmtId="3" fontId="1" fillId="0" borderId="9" xfId="0" applyNumberFormat="1" applyFont="1" applyBorder="1" applyAlignment="1">
      <alignment readingOrder="1"/>
    </xf>
    <xf numFmtId="0" fontId="0" fillId="0" borderId="0" xfId="0" pivotButton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0" fillId="0" borderId="10" xfId="0" applyBorder="1"/>
    <xf numFmtId="3" fontId="0" fillId="0" borderId="10" xfId="0" applyNumberFormat="1" applyBorder="1"/>
    <xf numFmtId="9" fontId="0" fillId="0" borderId="10" xfId="0" applyNumberFormat="1" applyBorder="1"/>
    <xf numFmtId="0" fontId="0" fillId="2" borderId="10" xfId="0" applyFill="1" applyBorder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Incidents Handled by CERT Polska by Year, with Forecasts for 2025 - 2029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{"historical values"}</c:f>
              <c:strCache>
                <c:ptCount val="1"/>
                <c:pt idx="0">
                  <c:v>historical values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'Forecast- calculations'!$A$2:$A$16</c:f>
              <c:numCache>
                <c:formatCode>General</c:formatCode>
                <c:ptCount val="1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</c:numCache>
            </c:numRef>
          </c:cat>
          <c:val>
            <c:numRef>
              <c:f>'Forecast- calculations'!B2:B16</c:f>
              <c:numCache>
                <c:formatCode>#,##0</c:formatCode>
                <c:ptCount val="15"/>
                <c:pt idx="0">
                  <c:v>1456</c:v>
                </c:pt>
                <c:pt idx="1">
                  <c:v>1926</c:v>
                </c:pt>
                <c:pt idx="2">
                  <c:v>3182</c:v>
                </c:pt>
                <c:pt idx="3">
                  <c:v>3739</c:v>
                </c:pt>
                <c:pt idx="4">
                  <c:v>6484</c:v>
                </c:pt>
                <c:pt idx="5">
                  <c:v>10420</c:v>
                </c:pt>
                <c:pt idx="6">
                  <c:v>29483</c:v>
                </c:pt>
                <c:pt idx="7">
                  <c:v>39683</c:v>
                </c:pt>
                <c:pt idx="8">
                  <c:v>80267</c:v>
                </c:pt>
                <c:pt idx="9">
                  <c:v>103449</c:v>
                </c:pt>
                <c:pt idx="10" formatCode="General">
                  <c:v>#N/A</c:v>
                </c:pt>
                <c:pt idx="11" formatCode="General">
                  <c:v>#N/A</c:v>
                </c:pt>
                <c:pt idx="12" formatCode="General">
                  <c:v>#N/A</c:v>
                </c:pt>
                <c:pt idx="13" formatCode="General">
                  <c:v>#N/A</c:v>
                </c:pt>
                <c:pt idx="14" formatCode="General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FB-4AAA-976D-0E1F79B7F3F6}"/>
            </c:ext>
          </c:extLst>
        </c:ser>
        <c:ser>
          <c:idx val="2"/>
          <c:order val="2"/>
          <c:tx>
            <c:strRef>
              <c:f>{"agresive forecast"}</c:f>
              <c:strCache>
                <c:ptCount val="1"/>
                <c:pt idx="0">
                  <c:v>agresive forecast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'Forecast- calculations'!$A$2:$A$16</c:f>
              <c:numCache>
                <c:formatCode>General</c:formatCode>
                <c:ptCount val="1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</c:numCache>
            </c:numRef>
          </c:cat>
          <c:val>
            <c:numRef>
              <c:f>'Forecast- calculations'!E2:E16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 formatCode="#,##0">
                  <c:v>152049.53270000001</c:v>
                </c:pt>
                <c:pt idx="11" formatCode="#,##0">
                  <c:v>208412.05279999998</c:v>
                </c:pt>
                <c:pt idx="12" formatCode="#,##0">
                  <c:v>277257.67709999997</c:v>
                </c:pt>
                <c:pt idx="13" formatCode="#,##0">
                  <c:v>359826.61639999994</c:v>
                </c:pt>
                <c:pt idx="14" formatCode="#,##0">
                  <c:v>457359.08149999997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0FB-4AAA-976D-0E1F79B7F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0814088"/>
        <c:axId val="1680816136"/>
      </c:barChart>
      <c:lineChart>
        <c:grouping val="standard"/>
        <c:varyColors val="0"/>
        <c:ser>
          <c:idx val="1"/>
          <c:order val="0"/>
          <c:tx>
            <c:strRef>
              <c:f>'Forecast- calculations'!$F$1</c:f>
              <c:strCache>
                <c:ptCount val="1"/>
                <c:pt idx="0">
                  <c:v>conservative forecast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'Forecast- calculations'!$A$2:$A$16</c:f>
              <c:numCache>
                <c:formatCode>General</c:formatCode>
                <c:ptCount val="1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</c:numCache>
            </c:numRef>
          </c:cat>
          <c:val>
            <c:numRef>
              <c:f>'Forecast- calculations'!$F$2:$F$16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 formatCode="#,##0">
                  <c:v>124138.79999999999</c:v>
                </c:pt>
                <c:pt idx="11" formatCode="#,##0">
                  <c:v>148966.55999999997</c:v>
                </c:pt>
                <c:pt idx="12" formatCode="#,##0">
                  <c:v>178759.87199999994</c:v>
                </c:pt>
                <c:pt idx="13" formatCode="#,##0">
                  <c:v>214511.84639999992</c:v>
                </c:pt>
                <c:pt idx="14" formatCode="#,##0">
                  <c:v>257414.21567999991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FB-4AAA-976D-0E1F79B7F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814088"/>
        <c:axId val="1680816136"/>
      </c:lineChart>
      <c:catAx>
        <c:axId val="168081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816136"/>
        <c:crosses val="autoZero"/>
        <c:auto val="1"/>
        <c:lblAlgn val="ctr"/>
        <c:lblOffset val="100"/>
        <c:noMultiLvlLbl val="0"/>
      </c:catAx>
      <c:valAx>
        <c:axId val="168081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81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648642872463034"/>
          <c:y val="0.93606922963346717"/>
          <c:w val="0.56861867067677552"/>
          <c:h val="5.5970540995808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Handled Incidents by Category in 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'2024 Distribution - calculation'!$B$41</c:f>
              <c:strCache>
                <c:ptCount val="1"/>
                <c:pt idx="0">
                  <c:v>NUMBER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D54-4E10-8229-71494A9150D4}"/>
              </c:ext>
            </c:extLst>
          </c:dPt>
          <c:dLbls>
            <c:dLbl>
              <c:idx val="0"/>
              <c:layout>
                <c:manualLayout>
                  <c:x val="-3.166226912928760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C1A-4CAA-9A57-9C14C088A7BC}"/>
                </c:ext>
              </c:extLst>
            </c:dLbl>
            <c:dLbl>
              <c:idx val="1"/>
              <c:layout>
                <c:manualLayout>
                  <c:x val="-3.298153034300791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1A-4CAA-9A57-9C14C088A7BC}"/>
                </c:ext>
              </c:extLst>
            </c:dLbl>
            <c:dLbl>
              <c:idx val="2"/>
              <c:layout>
                <c:manualLayout>
                  <c:x val="-3.166226912928760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C1A-4CAA-9A57-9C14C088A7BC}"/>
                </c:ext>
              </c:extLst>
            </c:dLbl>
            <c:dLbl>
              <c:idx val="3"/>
              <c:layout>
                <c:manualLayout>
                  <c:x val="-3.693931398416886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1A-4CAA-9A57-9C14C088A7BC}"/>
                </c:ext>
              </c:extLst>
            </c:dLbl>
            <c:dLbl>
              <c:idx val="4"/>
              <c:layout>
                <c:manualLayout>
                  <c:x val="-3.825857519788925E-2"/>
                  <c:y val="-1.1010883812341616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1A-4CAA-9A57-9C14C088A7BC}"/>
                </c:ext>
              </c:extLst>
            </c:dLbl>
            <c:dLbl>
              <c:idx val="5"/>
              <c:layout>
                <c:manualLayout>
                  <c:x val="-3.6939313984168866E-2"/>
                  <c:y val="5.5054419061708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1A-4CAA-9A57-9C14C088A7BC}"/>
                </c:ext>
              </c:extLst>
            </c:dLbl>
            <c:dLbl>
              <c:idx val="6"/>
              <c:layout>
                <c:manualLayout>
                  <c:x val="-3.535618442344149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1A-4CAA-9A57-9C14C088A7BC}"/>
                </c:ext>
              </c:extLst>
            </c:dLbl>
            <c:dLbl>
              <c:idx val="7"/>
              <c:layout>
                <c:manualLayout>
                  <c:x val="-5.1187318988085422E-2"/>
                  <c:y val="9.0088715424408783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1A-4CAA-9A57-9C14C088A7BC}"/>
                </c:ext>
              </c:extLst>
            </c:dLbl>
            <c:dLbl>
              <c:idx val="8"/>
              <c:layout>
                <c:manualLayout>
                  <c:x val="-5.0131926121372031E-2"/>
                  <c:y val="-9.0088715424411537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1A-4CAA-9A57-9C14C088A7BC}"/>
                </c:ext>
              </c:extLst>
            </c:dLbl>
            <c:dLbl>
              <c:idx val="9"/>
              <c:layout>
                <c:manualLayout>
                  <c:x val="-4.6437978618692283E-2"/>
                  <c:y val="-2.7493313626126127E-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54-4E10-8229-71494A9150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'2024 Distribution - calculation'!$A$42:$A$51</c:f>
              <c:strCache>
                <c:ptCount val="10"/>
                <c:pt idx="0">
                  <c:v>Others</c:v>
                </c:pt>
                <c:pt idx="1">
                  <c:v>Information Gathering</c:v>
                </c:pt>
                <c:pt idx="2">
                  <c:v>Information Security Attacks</c:v>
                </c:pt>
                <c:pt idx="3">
                  <c:v>Intrusion Attempts</c:v>
                </c:pt>
                <c:pt idx="4">
                  <c:v>Resource Availability</c:v>
                </c:pt>
                <c:pt idx="5">
                  <c:v>Successful Intrusions</c:v>
                </c:pt>
                <c:pt idx="6">
                  <c:v>Offensive and Illegal Content</c:v>
                </c:pt>
                <c:pt idx="7">
                  <c:v>Vulnerable Services</c:v>
                </c:pt>
                <c:pt idx="8">
                  <c:v>Malware</c:v>
                </c:pt>
                <c:pt idx="9">
                  <c:v>Fraudulent Activity</c:v>
                </c:pt>
              </c:strCache>
            </c:strRef>
          </c:cat>
          <c:val>
            <c:numRef>
              <c:f>'2024 Distribution - calculation'!$B$42:$B$51</c:f>
              <c:numCache>
                <c:formatCode>#,##0</c:formatCode>
                <c:ptCount val="10"/>
                <c:pt idx="0">
                  <c:v>14</c:v>
                </c:pt>
                <c:pt idx="1">
                  <c:v>26</c:v>
                </c:pt>
                <c:pt idx="2">
                  <c:v>62</c:v>
                </c:pt>
                <c:pt idx="3">
                  <c:v>179</c:v>
                </c:pt>
                <c:pt idx="4">
                  <c:v>426</c:v>
                </c:pt>
                <c:pt idx="5">
                  <c:v>447</c:v>
                </c:pt>
                <c:pt idx="6">
                  <c:v>775</c:v>
                </c:pt>
                <c:pt idx="7">
                  <c:v>1634</c:v>
                </c:pt>
                <c:pt idx="8">
                  <c:v>1891</c:v>
                </c:pt>
                <c:pt idx="9">
                  <c:v>97995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54-4E10-8229-71494A915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8324232"/>
        <c:axId val="1948804104"/>
      </c:barChart>
      <c:catAx>
        <c:axId val="1718324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04104"/>
        <c:crosses val="autoZero"/>
        <c:auto val="1"/>
        <c:lblAlgn val="ctr"/>
        <c:lblOffset val="100"/>
        <c:noMultiLvlLbl val="0"/>
      </c:catAx>
      <c:valAx>
        <c:axId val="194880410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324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of Handled Fraudulent Activity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'Trend - calculations'!$B$1</c:f>
              <c:strCache>
                <c:ptCount val="1"/>
                <c:pt idx="0">
                  <c:v>Fraudulent Activity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798137528012948E-2"/>
                  <c:y val="-3.9085213706795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70-4B86-97F4-E973F103CFBA}"/>
                </c:ext>
              </c:extLst>
            </c:dLbl>
            <c:dLbl>
              <c:idx val="1"/>
              <c:layout>
                <c:manualLayout>
                  <c:x val="-4.4621481521829348E-2"/>
                  <c:y val="-6.48648902433082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970-4B86-97F4-E973F103CFBA}"/>
                </c:ext>
              </c:extLst>
            </c:dLbl>
            <c:dLbl>
              <c:idx val="2"/>
              <c:layout>
                <c:manualLayout>
                  <c:x val="-5.7370534139483731E-2"/>
                  <c:y val="-5.19750519750520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970-4B86-97F4-E973F103CFBA}"/>
                </c:ext>
              </c:extLst>
            </c:dLbl>
            <c:dLbl>
              <c:idx val="3"/>
              <c:layout>
                <c:manualLayout>
                  <c:x val="-3.7450199203187318E-2"/>
                  <c:y val="-5.36382282598103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70-4B86-97F4-E973F103CFBA}"/>
                </c:ext>
              </c:extLst>
            </c:dLbl>
            <c:dLbl>
              <c:idx val="4"/>
              <c:layout>
                <c:manualLayout>
                  <c:x val="-3.1872509960159424E-2"/>
                  <c:y val="-5.6964682343100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70-4B86-97F4-E973F103CFBA}"/>
                </c:ext>
              </c:extLst>
            </c:dLbl>
            <c:dLbl>
              <c:idx val="5"/>
              <c:layout>
                <c:manualLayout>
                  <c:x val="-3.027886825095458E-2"/>
                  <c:y val="-4.86486994055354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70-4B86-97F4-E973F103CFBA}"/>
                </c:ext>
              </c:extLst>
            </c:dLbl>
            <c:dLbl>
              <c:idx val="6"/>
              <c:layout>
                <c:manualLayout>
                  <c:x val="-3.4794172917704182E-2"/>
                  <c:y val="-4.07483899915540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70-4B86-97F4-E973F103CFBA}"/>
                </c:ext>
              </c:extLst>
            </c:dLbl>
            <c:dLbl>
              <c:idx val="7"/>
              <c:layout>
                <c:manualLayout>
                  <c:x val="-3.1872509960159362E-2"/>
                  <c:y val="-3.90852137067957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70-4B86-97F4-E973F103CFBA}"/>
                </c:ext>
              </c:extLst>
            </c:dLbl>
            <c:dLbl>
              <c:idx val="8"/>
              <c:layout>
                <c:manualLayout>
                  <c:x val="-2.6294816664332272E-2"/>
                  <c:y val="-4.4906394149558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70-4B86-97F4-E973F103CFBA}"/>
                </c:ext>
              </c:extLst>
            </c:dLbl>
            <c:dLbl>
              <c:idx val="9"/>
              <c:layout>
                <c:manualLayout>
                  <c:x val="-2.5498003915328277E-2"/>
                  <c:y val="-3.24323816755458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7E-450D-B121-BA4240806A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'Trend - calculations'!$A$2:$A$11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'Trend - calculations'!$B$2:$B$11</c:f>
              <c:numCache>
                <c:formatCode>#,##0</c:formatCode>
                <c:ptCount val="10"/>
                <c:pt idx="0">
                  <c:v>97995</c:v>
                </c:pt>
                <c:pt idx="1">
                  <c:v>75917</c:v>
                </c:pt>
                <c:pt idx="2">
                  <c:v>35009</c:v>
                </c:pt>
                <c:pt idx="3">
                  <c:v>25472</c:v>
                </c:pt>
                <c:pt idx="4">
                  <c:v>8310</c:v>
                </c:pt>
                <c:pt idx="5">
                  <c:v>4086</c:v>
                </c:pt>
                <c:pt idx="6">
                  <c:v>1878</c:v>
                </c:pt>
                <c:pt idx="7">
                  <c:v>1439</c:v>
                </c:pt>
                <c:pt idx="8">
                  <c:v>1069</c:v>
                </c:pt>
                <c:pt idx="9">
                  <c:v>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A7-4172-8943-690061021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014855"/>
        <c:axId val="1808033799"/>
      </c:lineChart>
      <c:catAx>
        <c:axId val="180801485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033799"/>
        <c:crosses val="autoZero"/>
        <c:auto val="1"/>
        <c:lblAlgn val="ctr"/>
        <c:lblOffset val="100"/>
        <c:noMultiLvlLbl val="0"/>
      </c:catAx>
      <c:valAx>
        <c:axId val="1808033799"/>
        <c:scaling>
          <c:orientation val="minMax"/>
          <c:max val="1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cross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014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Trends of Other Incident Categories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'Trend - calculations'!$C$1</c:f>
              <c:strCache>
                <c:ptCount val="1"/>
                <c:pt idx="0">
                  <c:v>Malware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2AA0A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1362499246866966E-2"/>
                  <c:y val="-5.2301255230125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5AC-4312-805F-3CEDBD25C4CC}"/>
                </c:ext>
              </c:extLst>
            </c:dLbl>
            <c:dLbl>
              <c:idx val="1"/>
              <c:layout>
                <c:manualLayout>
                  <c:x val="-2.8277634961439587E-2"/>
                  <c:y val="-4.435148997286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5AC-4312-805F-3CEDBD25C4CC}"/>
                </c:ext>
              </c:extLst>
            </c:dLbl>
            <c:dLbl>
              <c:idx val="2"/>
              <c:layout>
                <c:manualLayout>
                  <c:x val="-2.7249373016749678E-2"/>
                  <c:y val="-3.5983289136048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5AC-4312-805F-3CEDBD25C4CC}"/>
                </c:ext>
              </c:extLst>
            </c:dLbl>
            <c:dLbl>
              <c:idx val="3"/>
              <c:layout>
                <c:manualLayout>
                  <c:x val="-3.0077152203165293E-2"/>
                  <c:y val="-3.6820096450869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5AC-4312-805F-3CEDBD25C4CC}"/>
                </c:ext>
              </c:extLst>
            </c:dLbl>
            <c:dLbl>
              <c:idx val="4"/>
              <c:layout>
                <c:manualLayout>
                  <c:x val="-2.4164508731322427E-2"/>
                  <c:y val="-4.68619119173313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5AC-4312-805F-3CEDBD25C4CC}"/>
                </c:ext>
              </c:extLst>
            </c:dLbl>
            <c:dLbl>
              <c:idx val="5"/>
              <c:layout>
                <c:manualLayout>
                  <c:x val="-2.365041698465617E-2"/>
                  <c:y val="-6.3179941855713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5AC-4312-805F-3CEDBD25C4CC}"/>
                </c:ext>
              </c:extLst>
            </c:dLbl>
            <c:dLbl>
              <c:idx val="6"/>
              <c:layout>
                <c:manualLayout>
                  <c:x val="-2.2365069940954434E-2"/>
                  <c:y val="-4.30962470784846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5AC-4312-805F-3CEDBD25C4CC}"/>
                </c:ext>
              </c:extLst>
            </c:dLbl>
            <c:dLbl>
              <c:idx val="7"/>
              <c:layout>
                <c:manualLayout>
                  <c:x val="-2.4421593830334189E-2"/>
                  <c:y val="-3.43096106621012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5AC-4312-805F-3CEDBD25C4CC}"/>
                </c:ext>
              </c:extLst>
            </c:dLbl>
            <c:dLbl>
              <c:idx val="8"/>
              <c:layout>
                <c:manualLayout>
                  <c:x val="-2.647815694539285E-2"/>
                  <c:y val="-4.2259439763663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5AC-4312-805F-3CEDBD25C4CC}"/>
                </c:ext>
              </c:extLst>
            </c:dLbl>
            <c:dLbl>
              <c:idx val="9"/>
              <c:layout>
                <c:manualLayout>
                  <c:x val="-2.7249373016749685E-2"/>
                  <c:y val="-3.0962317558512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AC-4312-805F-3CEDBD25C4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'Trend - calculations'!$A$2:$A$11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'Trend - calculations'!$C$2:$C$11</c:f>
              <c:numCache>
                <c:formatCode>#,##0</c:formatCode>
                <c:ptCount val="10"/>
                <c:pt idx="0">
                  <c:v>1891</c:v>
                </c:pt>
                <c:pt idx="1">
                  <c:v>1650</c:v>
                </c:pt>
                <c:pt idx="2">
                  <c:v>3409</c:v>
                </c:pt>
                <c:pt idx="3">
                  <c:v>2847</c:v>
                </c:pt>
                <c:pt idx="4">
                  <c:v>746</c:v>
                </c:pt>
                <c:pt idx="5">
                  <c:v>969</c:v>
                </c:pt>
                <c:pt idx="6">
                  <c:v>862</c:v>
                </c:pt>
                <c:pt idx="7">
                  <c:v>854</c:v>
                </c:pt>
                <c:pt idx="8">
                  <c:v>211</c:v>
                </c:pt>
                <c:pt idx="9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4B-4892-8AE5-DDE73F7530B1}"/>
            </c:ext>
          </c:extLst>
        </c:ser>
        <c:ser>
          <c:idx val="3"/>
          <c:order val="1"/>
          <c:tx>
            <c:strRef>
              <c:f>'Trend - calculations'!$D$1</c:f>
              <c:strCache>
                <c:ptCount val="1"/>
                <c:pt idx="0">
                  <c:v>Vulnerable Services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8860325621251195E-2"/>
                  <c:y val="-2.35495795332666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5AC-4312-805F-3CEDBD25C4CC}"/>
                </c:ext>
              </c:extLst>
            </c:dLbl>
            <c:dLbl>
              <c:idx val="3"/>
              <c:layout>
                <c:manualLayout>
                  <c:x val="-2.5518454688169451E-2"/>
                  <c:y val="-5.6603947300983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5AC-4312-805F-3CEDBD25C4CC}"/>
                </c:ext>
              </c:extLst>
            </c:dLbl>
            <c:dLbl>
              <c:idx val="4"/>
              <c:layout>
                <c:manualLayout>
                  <c:x val="-2.9117410720263023E-2"/>
                  <c:y val="-1.85286718000357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AC-4312-805F-3CEDBD25C4CC}"/>
                </c:ext>
              </c:extLst>
            </c:dLbl>
            <c:dLbl>
              <c:idx val="5"/>
              <c:layout>
                <c:manualLayout>
                  <c:x val="-2.5004284490145672E-2"/>
                  <c:y val="-2.10390937444984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AC-4312-805F-3CEDBD25C4CC}"/>
                </c:ext>
              </c:extLst>
            </c:dLbl>
            <c:dLbl>
              <c:idx val="6"/>
              <c:layout>
                <c:manualLayout>
                  <c:x val="-2.2382176520994002E-2"/>
                  <c:y val="-2.9825730160881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AC-4312-805F-3CEDBD25C4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'Trend - calculations'!$A$2:$A$11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'Trend - calculations'!$D$2:$D$11</c:f>
              <c:numCache>
                <c:formatCode>#,##0</c:formatCode>
                <c:ptCount val="10"/>
                <c:pt idx="0">
                  <c:v>1634</c:v>
                </c:pt>
                <c:pt idx="1">
                  <c:v>964</c:v>
                </c:pt>
                <c:pt idx="2">
                  <c:v>188</c:v>
                </c:pt>
                <c:pt idx="3">
                  <c:v>216</c:v>
                </c:pt>
                <c:pt idx="4">
                  <c:v>211</c:v>
                </c:pt>
                <c:pt idx="5">
                  <c:v>102</c:v>
                </c:pt>
                <c:pt idx="6">
                  <c:v>69</c:v>
                </c:pt>
                <c:pt idx="7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4B-4892-8AE5-DDE73F7530B1}"/>
            </c:ext>
          </c:extLst>
        </c:ser>
        <c:ser>
          <c:idx val="4"/>
          <c:order val="2"/>
          <c:tx>
            <c:strRef>
              <c:f>'Trend - calculations'!$E$1</c:f>
              <c:strCache>
                <c:ptCount val="1"/>
                <c:pt idx="0">
                  <c:v>Offensive and Illegal Content</c:v>
                </c:pt>
              </c:strCache>
            </c:strRef>
          </c:tx>
          <c:spPr>
            <a:ln w="28575" cap="rnd">
              <a:solidFill>
                <a:srgbClr val="FFFF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  <a:prstDash val="solid"/>
              </a:ln>
              <a:effectLst/>
            </c:spPr>
          </c:marker>
          <c:dLbls>
            <c:dLbl>
              <c:idx val="1"/>
              <c:layout>
                <c:manualLayout>
                  <c:x val="-2.1148259049311804E-2"/>
                  <c:y val="-2.10390809756371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5AC-4312-805F-3CEDBD25C4CC}"/>
                </c:ext>
              </c:extLst>
            </c:dLbl>
            <c:dLbl>
              <c:idx val="3"/>
              <c:layout>
                <c:manualLayout>
                  <c:x val="-2.7317893478537383E-2"/>
                  <c:y val="-4.65621318345218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5AC-4312-805F-3CEDBD25C4CC}"/>
                </c:ext>
              </c:extLst>
            </c:dLbl>
            <c:dLbl>
              <c:idx val="4"/>
              <c:layout>
                <c:manualLayout>
                  <c:x val="-2.654671663285936E-2"/>
                  <c:y val="-4.23780314161118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5AC-4312-805F-3CEDBD25C4CC}"/>
                </c:ext>
              </c:extLst>
            </c:dLbl>
            <c:dLbl>
              <c:idx val="8"/>
              <c:layout>
                <c:manualLayout>
                  <c:x val="-2.449014567266497E-2"/>
                  <c:y val="-6.53905964862281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5AC-4312-805F-3CEDBD25C4CC}"/>
                </c:ext>
              </c:extLst>
            </c:dLbl>
            <c:dLbl>
              <c:idx val="9"/>
              <c:layout>
                <c:manualLayout>
                  <c:x val="-2.7060847605204316E-2"/>
                  <c:y val="-6.8319441241392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5AC-4312-805F-3CEDBD25C4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'Trend - calculations'!$A$2:$A$11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'Trend - calculations'!$E$2:$E$11</c:f>
              <c:numCache>
                <c:formatCode>#,##0</c:formatCode>
                <c:ptCount val="10"/>
                <c:pt idx="0">
                  <c:v>775</c:v>
                </c:pt>
                <c:pt idx="1">
                  <c:v>584</c:v>
                </c:pt>
                <c:pt idx="2">
                  <c:v>308</c:v>
                </c:pt>
                <c:pt idx="3">
                  <c:v>311</c:v>
                </c:pt>
                <c:pt idx="4">
                  <c:v>371</c:v>
                </c:pt>
                <c:pt idx="5">
                  <c:v>812</c:v>
                </c:pt>
                <c:pt idx="6">
                  <c:v>431</c:v>
                </c:pt>
                <c:pt idx="7">
                  <c:v>195</c:v>
                </c:pt>
                <c:pt idx="8">
                  <c:v>237</c:v>
                </c:pt>
                <c:pt idx="9">
                  <c:v>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4B-4892-8AE5-DDE73F7530B1}"/>
            </c:ext>
          </c:extLst>
        </c:ser>
        <c:ser>
          <c:idx val="5"/>
          <c:order val="3"/>
          <c:tx>
            <c:strRef>
              <c:f>'Trend - calculations'!$F$1</c:f>
              <c:strCache>
                <c:ptCount val="1"/>
                <c:pt idx="0">
                  <c:v>Successful Intrusions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  <a:prstDash val="solid"/>
              </a:ln>
              <a:effectLst/>
            </c:spPr>
          </c:marker>
          <c:dLbls>
            <c:dLbl>
              <c:idx val="0"/>
              <c:layout>
                <c:manualLayout>
                  <c:x val="-2.577546133582382E-2"/>
                  <c:y val="-2.31311439537033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5AC-4312-805F-3CEDBD25C4CC}"/>
                </c:ext>
              </c:extLst>
            </c:dLbl>
            <c:dLbl>
              <c:idx val="1"/>
              <c:layout>
                <c:manualLayout>
                  <c:x val="-2.3204798628963279E-2"/>
                  <c:y val="-1.30893157183803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AC-4312-805F-3CEDBD25C4CC}"/>
                </c:ext>
              </c:extLst>
            </c:dLbl>
            <c:dLbl>
              <c:idx val="2"/>
              <c:layout>
                <c:manualLayout>
                  <c:x val="-2.4747199391133783E-2"/>
                  <c:y val="-6.24617261933411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5AC-4312-805F-3CEDBD25C4CC}"/>
                </c:ext>
              </c:extLst>
            </c:dLbl>
            <c:dLbl>
              <c:idx val="3"/>
              <c:layout>
                <c:manualLayout>
                  <c:x val="-2.7317924859080443E-2"/>
                  <c:y val="-8.92399177957209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5AC-4312-805F-3CEDBD25C4CC}"/>
                </c:ext>
              </c:extLst>
            </c:dLbl>
            <c:dLbl>
              <c:idx val="7"/>
              <c:layout>
                <c:manualLayout>
                  <c:x val="-2.680380173187125E-2"/>
                  <c:y val="-1.97838508501141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5AC-4312-805F-3CEDBD25C4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2D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'Trend - calculations'!$A$2:$A$11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'Trend - calculations'!$F$2:$F$11</c:f>
              <c:numCache>
                <c:formatCode>#,##0</c:formatCode>
                <c:ptCount val="10"/>
                <c:pt idx="0">
                  <c:v>447</c:v>
                </c:pt>
                <c:pt idx="1">
                  <c:v>418</c:v>
                </c:pt>
                <c:pt idx="2">
                  <c:v>354</c:v>
                </c:pt>
                <c:pt idx="3">
                  <c:v>247</c:v>
                </c:pt>
                <c:pt idx="4">
                  <c:v>317</c:v>
                </c:pt>
                <c:pt idx="5">
                  <c:v>160</c:v>
                </c:pt>
                <c:pt idx="6">
                  <c:v>125</c:v>
                </c:pt>
                <c:pt idx="7">
                  <c:v>118</c:v>
                </c:pt>
                <c:pt idx="8">
                  <c:v>54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4B-4892-8AE5-DDE73F753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498312"/>
        <c:axId val="454529032"/>
      </c:lineChart>
      <c:catAx>
        <c:axId val="454498312"/>
        <c:scaling>
          <c:orientation val="maxMin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29032"/>
        <c:crosses val="autoZero"/>
        <c:auto val="1"/>
        <c:lblAlgn val="ctr"/>
        <c:lblOffset val="100"/>
        <c:noMultiLvlLbl val="0"/>
      </c:catAx>
      <c:valAx>
        <c:axId val="454529032"/>
        <c:scaling>
          <c:logBase val="100"/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9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95250</xdr:rowOff>
    </xdr:from>
    <xdr:to>
      <xdr:col>12</xdr:col>
      <xdr:colOff>466725</xdr:colOff>
      <xdr:row>20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2020C2-1329-17C3-A2E5-F82F1A808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561975</xdr:colOff>
      <xdr:row>23</xdr:row>
      <xdr:rowOff>95250</xdr:rowOff>
    </xdr:from>
    <xdr:to>
      <xdr:col>12</xdr:col>
      <xdr:colOff>466725</xdr:colOff>
      <xdr:row>45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73D1FD-888C-35D1-921B-07496EA5B262}"/>
            </a:ext>
            <a:ext uri="{147F2762-F138-4A5C-976F-8EAC2B608ADB}">
              <a16:predDERef xmlns:a16="http://schemas.microsoft.com/office/drawing/2014/main" pred="{AD2020C2-1329-17C3-A2E5-F82F1A808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590550</xdr:colOff>
      <xdr:row>47</xdr:row>
      <xdr:rowOff>152400</xdr:rowOff>
    </xdr:from>
    <xdr:to>
      <xdr:col>12</xdr:col>
      <xdr:colOff>447675</xdr:colOff>
      <xdr:row>71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234489-FC23-43AC-8E4C-60C23CE146F0}"/>
            </a:ext>
            <a:ext uri="{147F2762-F138-4A5C-976F-8EAC2B608ADB}">
              <a16:predDERef xmlns:a16="http://schemas.microsoft.com/office/drawing/2014/main" pred="{7373D1FD-888C-35D1-921B-07496EA5B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438150</xdr:colOff>
      <xdr:row>47</xdr:row>
      <xdr:rowOff>171450</xdr:rowOff>
    </xdr:from>
    <xdr:to>
      <xdr:col>24</xdr:col>
      <xdr:colOff>447675</xdr:colOff>
      <xdr:row>71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904103-963F-4071-9834-24FAA65CCF1C}"/>
            </a:ext>
            <a:ext uri="{147F2762-F138-4A5C-976F-8EAC2B608ADB}">
              <a16:predDERef xmlns:a16="http://schemas.microsoft.com/office/drawing/2014/main" pred="{E5234489-FC23-43AC-8E4C-60C23CE14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7.717279282406" createdVersion="8" refreshedVersion="8" minRefreshableVersion="3" recordCount="10" xr:uid="{5631DAFA-6210-4648-AA47-242514BF7403}">
  <cacheSource type="worksheet">
    <worksheetSource ref="A1:L11" sheet="Data"/>
  </cacheSource>
  <cacheFields count="12">
    <cacheField name="Year" numFmtId="0">
      <sharedItems containsSemiMixedTypes="0" containsString="0" containsNumber="1" containsInteger="1" minValue="2015" maxValue="2024" count="10">
        <n v="2024"/>
        <n v="2023"/>
        <n v="2022"/>
        <n v="2021"/>
        <n v="2020"/>
        <n v="2019"/>
        <n v="2018"/>
        <n v="2017"/>
        <n v="2016"/>
        <n v="2015"/>
      </sharedItems>
    </cacheField>
    <cacheField name="Offensive and Illegal Content" numFmtId="3">
      <sharedItems containsSemiMixedTypes="0" containsString="0" containsNumber="1" containsInteger="1" minValue="146" maxValue="812" count="10">
        <n v="775"/>
        <n v="584"/>
        <n v="308"/>
        <n v="311"/>
        <n v="371"/>
        <n v="812"/>
        <n v="431"/>
        <n v="195"/>
        <n v="237"/>
        <n v="146"/>
      </sharedItems>
    </cacheField>
    <cacheField name="Malware" numFmtId="3">
      <sharedItems containsSemiMixedTypes="0" containsString="0" containsNumber="1" containsInteger="1" minValue="142" maxValue="3409" count="10">
        <n v="1891"/>
        <n v="1650"/>
        <n v="3409"/>
        <n v="2847"/>
        <n v="746"/>
        <n v="969"/>
        <n v="862"/>
        <n v="854"/>
        <n v="211"/>
        <n v="142"/>
      </sharedItems>
    </cacheField>
    <cacheField name="Information Gathering" numFmtId="3">
      <sharedItems containsSemiMixedTypes="0" containsString="0" containsNumber="1" containsInteger="1" minValue="26" maxValue="270" count="10">
        <n v="26"/>
        <n v="29"/>
        <n v="31"/>
        <n v="27"/>
        <n v="60"/>
        <n v="95"/>
        <n v="101"/>
        <n v="157"/>
        <n v="65"/>
        <n v="270"/>
      </sharedItems>
    </cacheField>
    <cacheField name="Intrusion Attempts" numFmtId="3">
      <sharedItems containsSemiMixedTypes="0" containsString="0" containsNumber="1" containsInteger="1" minValue="76" maxValue="262" count="10">
        <n v="179"/>
        <n v="205"/>
        <n v="121"/>
        <n v="127"/>
        <n v="174"/>
        <n v="77"/>
        <n v="153"/>
        <n v="262"/>
        <n v="109"/>
        <n v="76"/>
      </sharedItems>
    </cacheField>
    <cacheField name="Successful Intrusions" numFmtId="3">
      <sharedItems containsSemiMixedTypes="0" containsString="0" containsNumber="1" containsInteger="1" minValue="10" maxValue="447" count="10">
        <n v="447"/>
        <n v="418"/>
        <n v="354"/>
        <n v="247"/>
        <n v="317"/>
        <n v="160"/>
        <n v="125"/>
        <n v="118"/>
        <n v="54"/>
        <n v="10"/>
      </sharedItems>
    </cacheField>
    <cacheField name="Resource Availability" numFmtId="3">
      <sharedItems containsSemiMixedTypes="0" containsString="0" containsNumber="1" containsInteger="1" minValue="35" maxValue="426" count="10">
        <n v="426"/>
        <n v="385"/>
        <n v="175"/>
        <n v="148"/>
        <n v="121"/>
        <n v="57"/>
        <n v="49"/>
        <n v="53"/>
        <n v="45"/>
        <n v="35"/>
      </sharedItems>
    </cacheField>
    <cacheField name="Information Security Attacks" numFmtId="3">
      <sharedItems containsSemiMixedTypes="0" containsString="0" containsNumber="1" containsInteger="1" minValue="28" maxValue="89" count="10">
        <n v="62"/>
        <n v="59"/>
        <n v="39"/>
        <n v="55"/>
        <n v="68"/>
        <n v="41"/>
        <n v="46"/>
        <n v="28"/>
        <n v="45"/>
        <n v="89"/>
      </sharedItems>
    </cacheField>
    <cacheField name="Fraudulent Activity" numFmtId="3">
      <sharedItems containsSemiMixedTypes="0" containsString="0" containsNumber="1" containsInteger="1" minValue="611" maxValue="97995" count="10">
        <n v="97995"/>
        <n v="75917"/>
        <n v="35009"/>
        <n v="25472"/>
        <n v="8310"/>
        <n v="4086"/>
        <n v="1878"/>
        <n v="1439"/>
        <n v="1069"/>
        <n v="611"/>
      </sharedItems>
    </cacheField>
    <cacheField name="Vulnerable Services" numFmtId="3">
      <sharedItems containsString="0" containsBlank="1" containsNumber="1" containsInteger="1" minValue="24" maxValue="1634" count="9">
        <n v="1634"/>
        <n v="964"/>
        <n v="188"/>
        <n v="216"/>
        <n v="211"/>
        <n v="102"/>
        <n v="69"/>
        <n v="24"/>
        <m/>
      </sharedItems>
    </cacheField>
    <cacheField name="Others" numFmtId="3">
      <sharedItems containsSemiMixedTypes="0" containsString="0" containsNumber="1" containsInteger="1" minValue="14" maxValue="91" count="10">
        <n v="14"/>
        <n v="56"/>
        <n v="49"/>
        <n v="33"/>
        <n v="42"/>
        <n v="85"/>
        <n v="25"/>
        <n v="52"/>
        <n v="91"/>
        <n v="77"/>
      </sharedItems>
    </cacheField>
    <cacheField name="Total" numFmtId="3">
      <sharedItems containsSemiMixedTypes="0" containsString="0" containsNumber="1" containsInteger="1" minValue="1456" maxValue="103449" count="10">
        <n v="103449"/>
        <n v="80267"/>
        <n v="39683"/>
        <n v="29483"/>
        <n v="10420"/>
        <n v="6484"/>
        <n v="3739"/>
        <n v="3182"/>
        <n v="1926"/>
        <n v="145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  <x v="2"/>
    <x v="2"/>
  </r>
  <r>
    <x v="3"/>
    <x v="3"/>
    <x v="3"/>
    <x v="3"/>
    <x v="3"/>
    <x v="3"/>
    <x v="3"/>
    <x v="3"/>
    <x v="3"/>
    <x v="3"/>
    <x v="3"/>
    <x v="3"/>
  </r>
  <r>
    <x v="4"/>
    <x v="4"/>
    <x v="4"/>
    <x v="4"/>
    <x v="4"/>
    <x v="4"/>
    <x v="4"/>
    <x v="4"/>
    <x v="4"/>
    <x v="4"/>
    <x v="4"/>
    <x v="4"/>
  </r>
  <r>
    <x v="5"/>
    <x v="5"/>
    <x v="5"/>
    <x v="5"/>
    <x v="5"/>
    <x v="5"/>
    <x v="5"/>
    <x v="5"/>
    <x v="5"/>
    <x v="5"/>
    <x v="5"/>
    <x v="5"/>
  </r>
  <r>
    <x v="6"/>
    <x v="6"/>
    <x v="6"/>
    <x v="6"/>
    <x v="6"/>
    <x v="6"/>
    <x v="6"/>
    <x v="6"/>
    <x v="6"/>
    <x v="6"/>
    <x v="6"/>
    <x v="6"/>
  </r>
  <r>
    <x v="7"/>
    <x v="7"/>
    <x v="7"/>
    <x v="7"/>
    <x v="7"/>
    <x v="7"/>
    <x v="7"/>
    <x v="7"/>
    <x v="7"/>
    <x v="7"/>
    <x v="7"/>
    <x v="7"/>
  </r>
  <r>
    <x v="8"/>
    <x v="8"/>
    <x v="8"/>
    <x v="8"/>
    <x v="8"/>
    <x v="8"/>
    <x v="8"/>
    <x v="8"/>
    <x v="8"/>
    <x v="8"/>
    <x v="8"/>
    <x v="8"/>
  </r>
  <r>
    <x v="9"/>
    <x v="9"/>
    <x v="9"/>
    <x v="9"/>
    <x v="9"/>
    <x v="9"/>
    <x v="9"/>
    <x v="9"/>
    <x v="9"/>
    <x v="8"/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C9BAB-B456-41E7-A2AB-ABBD0A5528D8}" name="PivotTable2" cacheId="442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4">
  <location ref="A1:B11" firstHeaderRow="1" firstDataRow="1" firstDataCol="1"/>
  <pivotFields count="12">
    <pivotField axis="axisRow" compact="0" outline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numFmtId="3" outline="0" showAll="0"/>
    <pivotField dataField="1" compact="0" numFmtId="3" outline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um of Total" fld="11" baseField="0" baseItem="0" numFmtId="3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F864F-DB1E-4B34-8AAE-A8C168E5E9D2}" name="PivotTable4" cacheId="442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J13" firstHeaderRow="1" firstDataRow="1" firstDataCol="10" rowPageCount="1" colPageCount="1"/>
  <pivotFields count="12">
    <pivotField axis="axisPage" compact="0" outline="0" showAll="0">
      <items count="11">
        <item h="1" sd="0" x="9"/>
        <item h="1" sd="0" x="8"/>
        <item h="1" sd="0" x="7"/>
        <item h="1" sd="0" x="6"/>
        <item h="1" sd="0" x="5"/>
        <item h="1" sd="0" x="4"/>
        <item h="1" sd="0" x="3"/>
        <item h="1" sd="0" x="2"/>
        <item h="1" sd="0" x="1"/>
        <item x="0"/>
        <item t="default"/>
      </items>
    </pivotField>
    <pivotField axis="axisRow" compact="0" numFmtId="3" outline="0" showAll="0">
      <items count="11">
        <item x="9"/>
        <item x="7"/>
        <item x="8"/>
        <item x="2"/>
        <item x="3"/>
        <item x="4"/>
        <item x="6"/>
        <item x="1"/>
        <item x="0"/>
        <item x="5"/>
        <item t="default"/>
      </items>
    </pivotField>
    <pivotField axis="axisRow" compact="0" numFmtId="3" outline="0" showAll="0">
      <items count="11">
        <item x="9"/>
        <item x="8"/>
        <item x="4"/>
        <item x="7"/>
        <item x="6"/>
        <item x="5"/>
        <item x="1"/>
        <item x="0"/>
        <item x="3"/>
        <item x="2"/>
        <item t="default"/>
      </items>
    </pivotField>
    <pivotField axis="axisRow" compact="0" numFmtId="3" outline="0" showAll="0">
      <items count="11">
        <item x="0"/>
        <item x="3"/>
        <item x="1"/>
        <item x="2"/>
        <item x="4"/>
        <item x="8"/>
        <item x="5"/>
        <item x="6"/>
        <item x="7"/>
        <item x="9"/>
        <item t="default"/>
      </items>
    </pivotField>
    <pivotField axis="axisRow" compact="0" numFmtId="3" outline="0" showAll="0">
      <items count="11">
        <item x="9"/>
        <item x="5"/>
        <item x="8"/>
        <item x="2"/>
        <item x="3"/>
        <item x="6"/>
        <item x="4"/>
        <item x="0"/>
        <item x="1"/>
        <item x="7"/>
        <item t="default"/>
      </items>
    </pivotField>
    <pivotField axis="axisRow" compact="0" numFmtId="3" outline="0" showAll="0">
      <items count="11">
        <item x="9"/>
        <item x="8"/>
        <item x="7"/>
        <item x="6"/>
        <item x="5"/>
        <item x="3"/>
        <item x="4"/>
        <item x="2"/>
        <item x="1"/>
        <item x="0"/>
        <item t="default"/>
      </items>
    </pivotField>
    <pivotField axis="axisRow" compact="0" numFmtId="3" outline="0" showAll="0">
      <items count="11">
        <item x="9"/>
        <item x="8"/>
        <item x="6"/>
        <item x="7"/>
        <item x="5"/>
        <item x="4"/>
        <item x="3"/>
        <item x="2"/>
        <item x="1"/>
        <item x="0"/>
        <item t="default"/>
      </items>
    </pivotField>
    <pivotField axis="axisRow" compact="0" numFmtId="3" outline="0" showAll="0">
      <items count="11">
        <item x="7"/>
        <item x="2"/>
        <item x="5"/>
        <item x="8"/>
        <item x="6"/>
        <item x="3"/>
        <item x="1"/>
        <item x="0"/>
        <item x="4"/>
        <item x="9"/>
        <item t="default"/>
      </items>
    </pivotField>
    <pivotField axis="axisRow" compact="0" numFmtId="3" outline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compact="0" outline="0" showAll="0">
      <items count="10">
        <item x="7"/>
        <item x="6"/>
        <item x="5"/>
        <item x="2"/>
        <item x="4"/>
        <item x="3"/>
        <item x="1"/>
        <item x="0"/>
        <item x="8"/>
        <item t="default"/>
      </items>
    </pivotField>
    <pivotField axis="axisRow" compact="0" numFmtId="3" outline="0" showAll="0">
      <items count="11">
        <item x="0"/>
        <item x="6"/>
        <item x="3"/>
        <item x="4"/>
        <item x="2"/>
        <item x="7"/>
        <item x="1"/>
        <item x="9"/>
        <item x="5"/>
        <item x="8"/>
        <item t="default"/>
      </items>
    </pivotField>
    <pivotField compact="0" numFmtId="3" outline="0" showAll="0"/>
  </pivotFields>
  <rowFields count="10">
    <field x="1"/>
    <field x="2"/>
    <field x="3"/>
    <field x="4"/>
    <field x="6"/>
    <field x="5"/>
    <field x="7"/>
    <field x="8"/>
    <field x="9"/>
    <field x="10"/>
  </rowFields>
  <rowItems count="10">
    <i>
      <x v="8"/>
      <x v="7"/>
      <x/>
      <x v="7"/>
      <x v="9"/>
      <x v="9"/>
      <x v="7"/>
      <x v="9"/>
      <x v="7"/>
      <x/>
    </i>
    <i t="default" r="8">
      <x v="7"/>
    </i>
    <i t="default" r="7">
      <x v="9"/>
    </i>
    <i t="default" r="6">
      <x v="7"/>
    </i>
    <i t="default" r="5">
      <x v="9"/>
    </i>
    <i t="default" r="4">
      <x v="9"/>
    </i>
    <i t="default" r="3">
      <x v="7"/>
    </i>
    <i t="default" r="2">
      <x/>
    </i>
    <i t="default" r="1">
      <x v="7"/>
    </i>
    <i t="default">
      <x v="8"/>
    </i>
  </rowItems>
  <colItems count="1">
    <i/>
  </colItems>
  <pageFields count="1">
    <pageField fld="0" item="9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F1" sqref="F1:F11"/>
    </sheetView>
  </sheetViews>
  <sheetFormatPr defaultRowHeight="15"/>
  <cols>
    <col min="1" max="1" width="10.140625" bestFit="1" customWidth="1"/>
    <col min="2" max="2" width="24.7109375" bestFit="1" customWidth="1"/>
    <col min="3" max="3" width="10.140625" bestFit="1" customWidth="1"/>
    <col min="4" max="4" width="18.85546875" bestFit="1" customWidth="1"/>
    <col min="5" max="5" width="15.85546875" bestFit="1" customWidth="1"/>
    <col min="6" max="6" width="18.42578125" bestFit="1" customWidth="1"/>
    <col min="7" max="7" width="18.140625" bestFit="1" customWidth="1"/>
    <col min="8" max="8" width="24" bestFit="1" customWidth="1"/>
    <col min="9" max="9" width="16.140625" bestFit="1" customWidth="1"/>
    <col min="10" max="10" width="17.42578125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t="s">
        <v>11</v>
      </c>
    </row>
    <row r="2" spans="1:12">
      <c r="A2" s="4">
        <v>2024</v>
      </c>
      <c r="B2" s="6">
        <v>775</v>
      </c>
      <c r="C2" s="6">
        <v>1891</v>
      </c>
      <c r="D2" s="6">
        <v>26</v>
      </c>
      <c r="E2" s="6">
        <v>179</v>
      </c>
      <c r="F2" s="6">
        <v>447</v>
      </c>
      <c r="G2" s="6">
        <v>426</v>
      </c>
      <c r="H2" s="6">
        <v>62</v>
      </c>
      <c r="I2" s="6">
        <v>97995</v>
      </c>
      <c r="J2" s="6">
        <v>1634</v>
      </c>
      <c r="K2" s="7">
        <v>14</v>
      </c>
      <c r="L2" s="11">
        <f>SUM(B2:K2)</f>
        <v>103449</v>
      </c>
    </row>
    <row r="3" spans="1:12">
      <c r="A3" s="4">
        <v>2023</v>
      </c>
      <c r="B3" s="6">
        <v>584</v>
      </c>
      <c r="C3" s="6">
        <v>1650</v>
      </c>
      <c r="D3" s="6">
        <v>29</v>
      </c>
      <c r="E3" s="6">
        <v>205</v>
      </c>
      <c r="F3" s="6">
        <v>418</v>
      </c>
      <c r="G3" s="6">
        <v>385</v>
      </c>
      <c r="H3" s="6">
        <v>59</v>
      </c>
      <c r="I3" s="6">
        <v>75917</v>
      </c>
      <c r="J3" s="6">
        <v>964</v>
      </c>
      <c r="K3" s="7">
        <v>56</v>
      </c>
      <c r="L3" s="11">
        <f t="shared" ref="L3:L11" si="0">SUM(B3:K3)</f>
        <v>80267</v>
      </c>
    </row>
    <row r="4" spans="1:12">
      <c r="A4" s="4">
        <v>2022</v>
      </c>
      <c r="B4" s="6">
        <v>308</v>
      </c>
      <c r="C4" s="6">
        <v>3409</v>
      </c>
      <c r="D4" s="6">
        <v>31</v>
      </c>
      <c r="E4" s="6">
        <v>121</v>
      </c>
      <c r="F4" s="6">
        <v>354</v>
      </c>
      <c r="G4" s="6">
        <v>175</v>
      </c>
      <c r="H4" s="6">
        <v>39</v>
      </c>
      <c r="I4" s="6">
        <v>35009</v>
      </c>
      <c r="J4" s="6">
        <v>188</v>
      </c>
      <c r="K4" s="7">
        <v>49</v>
      </c>
      <c r="L4" s="11">
        <f t="shared" si="0"/>
        <v>39683</v>
      </c>
    </row>
    <row r="5" spans="1:12">
      <c r="A5" s="4">
        <v>2021</v>
      </c>
      <c r="B5" s="6">
        <v>311</v>
      </c>
      <c r="C5" s="6">
        <v>2847</v>
      </c>
      <c r="D5" s="6">
        <v>27</v>
      </c>
      <c r="E5" s="6">
        <v>127</v>
      </c>
      <c r="F5" s="6">
        <v>247</v>
      </c>
      <c r="G5" s="6">
        <v>148</v>
      </c>
      <c r="H5" s="6">
        <v>55</v>
      </c>
      <c r="I5" s="6">
        <v>25472</v>
      </c>
      <c r="J5" s="6">
        <v>216</v>
      </c>
      <c r="K5" s="7">
        <v>33</v>
      </c>
      <c r="L5" s="11">
        <f t="shared" si="0"/>
        <v>29483</v>
      </c>
    </row>
    <row r="6" spans="1:12">
      <c r="A6" s="4">
        <v>2020</v>
      </c>
      <c r="B6" s="6">
        <v>371</v>
      </c>
      <c r="C6" s="6">
        <v>746</v>
      </c>
      <c r="D6" s="6">
        <v>60</v>
      </c>
      <c r="E6" s="6">
        <v>174</v>
      </c>
      <c r="F6" s="6">
        <v>317</v>
      </c>
      <c r="G6" s="6">
        <v>121</v>
      </c>
      <c r="H6" s="6">
        <v>68</v>
      </c>
      <c r="I6" s="6">
        <v>8310</v>
      </c>
      <c r="J6" s="6">
        <v>211</v>
      </c>
      <c r="K6" s="7">
        <v>42</v>
      </c>
      <c r="L6" s="11">
        <f t="shared" si="0"/>
        <v>10420</v>
      </c>
    </row>
    <row r="7" spans="1:12">
      <c r="A7" s="4">
        <v>2019</v>
      </c>
      <c r="B7" s="6">
        <v>812</v>
      </c>
      <c r="C7" s="6">
        <v>969</v>
      </c>
      <c r="D7" s="6">
        <v>95</v>
      </c>
      <c r="E7" s="6">
        <v>77</v>
      </c>
      <c r="F7" s="6">
        <v>160</v>
      </c>
      <c r="G7" s="6">
        <v>57</v>
      </c>
      <c r="H7" s="6">
        <v>41</v>
      </c>
      <c r="I7" s="6">
        <v>4086</v>
      </c>
      <c r="J7" s="6">
        <v>102</v>
      </c>
      <c r="K7" s="7">
        <v>85</v>
      </c>
      <c r="L7" s="11">
        <f t="shared" si="0"/>
        <v>6484</v>
      </c>
    </row>
    <row r="8" spans="1:12">
      <c r="A8" s="4">
        <v>2018</v>
      </c>
      <c r="B8" s="6">
        <v>431</v>
      </c>
      <c r="C8" s="6">
        <v>862</v>
      </c>
      <c r="D8" s="6">
        <v>101</v>
      </c>
      <c r="E8" s="6">
        <v>153</v>
      </c>
      <c r="F8" s="6">
        <v>125</v>
      </c>
      <c r="G8" s="6">
        <v>49</v>
      </c>
      <c r="H8" s="6">
        <v>46</v>
      </c>
      <c r="I8" s="6">
        <v>1878</v>
      </c>
      <c r="J8" s="6">
        <v>69</v>
      </c>
      <c r="K8" s="7">
        <v>25</v>
      </c>
      <c r="L8" s="11">
        <f t="shared" si="0"/>
        <v>3739</v>
      </c>
    </row>
    <row r="9" spans="1:12">
      <c r="A9" s="4">
        <v>2017</v>
      </c>
      <c r="B9" s="6">
        <v>195</v>
      </c>
      <c r="C9" s="6">
        <v>854</v>
      </c>
      <c r="D9" s="6">
        <v>157</v>
      </c>
      <c r="E9" s="6">
        <v>262</v>
      </c>
      <c r="F9" s="6">
        <v>118</v>
      </c>
      <c r="G9" s="6">
        <v>53</v>
      </c>
      <c r="H9" s="6">
        <v>28</v>
      </c>
      <c r="I9" s="6">
        <v>1439</v>
      </c>
      <c r="J9" s="6">
        <v>24</v>
      </c>
      <c r="K9" s="7">
        <v>52</v>
      </c>
      <c r="L9" s="11">
        <f t="shared" si="0"/>
        <v>3182</v>
      </c>
    </row>
    <row r="10" spans="1:12">
      <c r="A10" s="4">
        <v>2016</v>
      </c>
      <c r="B10" s="6">
        <v>237</v>
      </c>
      <c r="C10" s="6">
        <v>211</v>
      </c>
      <c r="D10" s="6">
        <v>65</v>
      </c>
      <c r="E10" s="6">
        <v>109</v>
      </c>
      <c r="F10" s="6">
        <v>54</v>
      </c>
      <c r="G10" s="6">
        <v>45</v>
      </c>
      <c r="H10" s="6">
        <v>45</v>
      </c>
      <c r="I10" s="6">
        <v>1069</v>
      </c>
      <c r="J10" s="6"/>
      <c r="K10" s="7">
        <v>91</v>
      </c>
      <c r="L10" s="11">
        <f t="shared" si="0"/>
        <v>1926</v>
      </c>
    </row>
    <row r="11" spans="1:12">
      <c r="A11" s="5">
        <v>2015</v>
      </c>
      <c r="B11" s="8">
        <v>146</v>
      </c>
      <c r="C11" s="8">
        <v>142</v>
      </c>
      <c r="D11" s="8">
        <v>270</v>
      </c>
      <c r="E11" s="8">
        <v>76</v>
      </c>
      <c r="F11" s="8">
        <v>10</v>
      </c>
      <c r="G11" s="8">
        <v>35</v>
      </c>
      <c r="H11" s="8">
        <v>89</v>
      </c>
      <c r="I11" s="8">
        <v>611</v>
      </c>
      <c r="J11" s="8"/>
      <c r="K11" s="9">
        <v>77</v>
      </c>
      <c r="L11" s="11">
        <f t="shared" si="0"/>
        <v>1456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F1EE-2055-4376-A340-C6604ECE499B}">
  <dimension ref="A1:F16"/>
  <sheetViews>
    <sheetView workbookViewId="0">
      <selection activeCell="H10" sqref="H10"/>
    </sheetView>
  </sheetViews>
  <sheetFormatPr defaultRowHeight="15"/>
  <cols>
    <col min="1" max="1" width="8" bestFit="1" customWidth="1"/>
    <col min="2" max="2" width="11.85546875" bestFit="1" customWidth="1"/>
    <col min="3" max="3" width="8.42578125" bestFit="1" customWidth="1"/>
    <col min="4" max="4" width="5.7109375" bestFit="1" customWidth="1"/>
    <col min="5" max="5" width="15.5703125" customWidth="1"/>
    <col min="6" max="6" width="19.140625" bestFit="1" customWidth="1"/>
    <col min="7" max="10" width="6.85546875" bestFit="1" customWidth="1"/>
    <col min="11" max="11" width="14.7109375" bestFit="1" customWidth="1"/>
    <col min="12" max="12" width="11.140625" bestFit="1" customWidth="1"/>
  </cols>
  <sheetData>
    <row r="1" spans="1:6">
      <c r="A1" s="10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>
      <c r="A2">
        <v>2015</v>
      </c>
      <c r="B2" s="11">
        <v>1456</v>
      </c>
      <c r="C2" t="e">
        <f>NA()</f>
        <v>#N/A</v>
      </c>
      <c r="D2">
        <v>1</v>
      </c>
      <c r="E2" t="e">
        <f>NA()</f>
        <v>#N/A</v>
      </c>
      <c r="F2" t="e">
        <f>NA()</f>
        <v>#N/A</v>
      </c>
    </row>
    <row r="3" spans="1:6">
      <c r="A3">
        <v>2016</v>
      </c>
      <c r="B3" s="11">
        <v>1926</v>
      </c>
      <c r="C3" s="12">
        <f>(B3-B2)/B2</f>
        <v>0.32280219780219782</v>
      </c>
      <c r="D3">
        <v>2</v>
      </c>
      <c r="E3" t="e">
        <f>NA()</f>
        <v>#N/A</v>
      </c>
      <c r="F3" t="e">
        <f>NA()</f>
        <v>#N/A</v>
      </c>
    </row>
    <row r="4" spans="1:6">
      <c r="A4">
        <v>2017</v>
      </c>
      <c r="B4" s="11">
        <v>3182</v>
      </c>
      <c r="C4" s="12">
        <f t="shared" ref="C4:C11" si="0">(B4-B3)/B3</f>
        <v>0.65212876427829702</v>
      </c>
      <c r="D4">
        <v>3</v>
      </c>
      <c r="E4" t="e">
        <f>NA()</f>
        <v>#N/A</v>
      </c>
      <c r="F4" t="e">
        <f>NA()</f>
        <v>#N/A</v>
      </c>
    </row>
    <row r="5" spans="1:6">
      <c r="A5">
        <v>2018</v>
      </c>
      <c r="B5" s="11">
        <v>3739</v>
      </c>
      <c r="C5" s="12">
        <f t="shared" si="0"/>
        <v>0.17504714016341924</v>
      </c>
      <c r="D5">
        <v>4</v>
      </c>
      <c r="E5" t="e">
        <f>NA()</f>
        <v>#N/A</v>
      </c>
      <c r="F5" t="e">
        <f>NA()</f>
        <v>#N/A</v>
      </c>
    </row>
    <row r="6" spans="1:6">
      <c r="A6">
        <v>2019</v>
      </c>
      <c r="B6" s="11">
        <v>6484</v>
      </c>
      <c r="C6" s="12">
        <f t="shared" si="0"/>
        <v>0.73415351698315057</v>
      </c>
      <c r="D6">
        <v>5</v>
      </c>
      <c r="E6" t="e">
        <f>NA()</f>
        <v>#N/A</v>
      </c>
      <c r="F6" t="e">
        <f>NA()</f>
        <v>#N/A</v>
      </c>
    </row>
    <row r="7" spans="1:6">
      <c r="A7">
        <v>2020</v>
      </c>
      <c r="B7" s="11">
        <v>10420</v>
      </c>
      <c r="C7" s="12">
        <f t="shared" si="0"/>
        <v>0.60703269586674891</v>
      </c>
      <c r="D7">
        <v>6</v>
      </c>
      <c r="E7" t="e">
        <f>NA()</f>
        <v>#N/A</v>
      </c>
      <c r="F7" t="e">
        <f>NA()</f>
        <v>#N/A</v>
      </c>
    </row>
    <row r="8" spans="1:6">
      <c r="A8">
        <v>2021</v>
      </c>
      <c r="B8" s="11">
        <v>29483</v>
      </c>
      <c r="C8" s="12">
        <f t="shared" si="0"/>
        <v>1.8294625719769673</v>
      </c>
      <c r="D8">
        <v>7</v>
      </c>
      <c r="E8" t="e">
        <f>NA()</f>
        <v>#N/A</v>
      </c>
      <c r="F8" t="e">
        <f>NA()</f>
        <v>#N/A</v>
      </c>
    </row>
    <row r="9" spans="1:6">
      <c r="A9">
        <v>2022</v>
      </c>
      <c r="B9" s="11">
        <v>39683</v>
      </c>
      <c r="C9" s="12">
        <f t="shared" si="0"/>
        <v>0.34596207984262117</v>
      </c>
      <c r="D9">
        <v>8</v>
      </c>
      <c r="E9" t="e">
        <f>NA()</f>
        <v>#N/A</v>
      </c>
      <c r="F9" t="e">
        <f>NA()</f>
        <v>#N/A</v>
      </c>
    </row>
    <row r="10" spans="1:6">
      <c r="A10">
        <v>2023</v>
      </c>
      <c r="B10" s="11">
        <v>80267</v>
      </c>
      <c r="C10" s="12">
        <f t="shared" si="0"/>
        <v>1.0227049366227352</v>
      </c>
      <c r="D10">
        <v>9</v>
      </c>
      <c r="E10" t="e">
        <f>NA()</f>
        <v>#N/A</v>
      </c>
      <c r="F10" t="e">
        <f>NA()</f>
        <v>#N/A</v>
      </c>
    </row>
    <row r="11" spans="1:6">
      <c r="A11">
        <v>2024</v>
      </c>
      <c r="B11" s="11">
        <v>103449</v>
      </c>
      <c r="C11" s="12">
        <f t="shared" si="0"/>
        <v>0.28881109297718865</v>
      </c>
      <c r="D11">
        <v>10</v>
      </c>
      <c r="E11" t="e">
        <f>NA()</f>
        <v>#N/A</v>
      </c>
      <c r="F11" t="e">
        <f>NA()</f>
        <v>#N/A</v>
      </c>
    </row>
    <row r="12" spans="1:6" ht="20.25" customHeight="1">
      <c r="A12">
        <v>2025</v>
      </c>
      <c r="B12" s="13" t="e">
        <f>NA()</f>
        <v>#N/A</v>
      </c>
      <c r="D12">
        <v>11</v>
      </c>
      <c r="E12" s="14">
        <f>206.7018*(D12^3)-1199.7127*(D12^2)+1895.2976*D12+1246.4</f>
        <v>152049.53270000001</v>
      </c>
      <c r="F12" s="11">
        <f>B11*1.2</f>
        <v>124138.79999999999</v>
      </c>
    </row>
    <row r="13" spans="1:6">
      <c r="A13">
        <v>2026</v>
      </c>
      <c r="B13" s="13" t="e">
        <f>NA()</f>
        <v>#N/A</v>
      </c>
      <c r="D13">
        <v>12</v>
      </c>
      <c r="E13" s="14">
        <f t="shared" ref="E13:E16" si="1">206.7018*(D13^3)-1199.7127*(D13^2)+1895.2976*D13+1246.4</f>
        <v>208412.05279999998</v>
      </c>
      <c r="F13" s="11">
        <f>F12*1.2</f>
        <v>148966.55999999997</v>
      </c>
    </row>
    <row r="14" spans="1:6">
      <c r="A14">
        <v>2027</v>
      </c>
      <c r="B14" s="13" t="e">
        <f>NA()</f>
        <v>#N/A</v>
      </c>
      <c r="D14">
        <v>13</v>
      </c>
      <c r="E14" s="14">
        <f t="shared" si="1"/>
        <v>277257.67709999997</v>
      </c>
      <c r="F14" s="11">
        <f t="shared" ref="F14:F16" si="2">F13*1.2</f>
        <v>178759.87199999994</v>
      </c>
    </row>
    <row r="15" spans="1:6">
      <c r="A15">
        <v>2028</v>
      </c>
      <c r="B15" s="13" t="e">
        <f>NA()</f>
        <v>#N/A</v>
      </c>
      <c r="D15">
        <v>14</v>
      </c>
      <c r="E15" s="14">
        <f t="shared" si="1"/>
        <v>359826.61639999994</v>
      </c>
      <c r="F15" s="11">
        <f t="shared" si="2"/>
        <v>214511.84639999992</v>
      </c>
    </row>
    <row r="16" spans="1:6">
      <c r="A16">
        <v>2029</v>
      </c>
      <c r="B16" s="13" t="e">
        <f>NA()</f>
        <v>#N/A</v>
      </c>
      <c r="D16">
        <v>15</v>
      </c>
      <c r="E16" s="14">
        <f t="shared" si="1"/>
        <v>457359.08149999997</v>
      </c>
      <c r="F16" s="11">
        <f>F15*1.2</f>
        <v>257414.21567999991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1367-EF4B-4708-9F77-BCD5D5248BB7}">
  <dimension ref="A1:J52"/>
  <sheetViews>
    <sheetView workbookViewId="0">
      <selection activeCell="C19" sqref="C19"/>
    </sheetView>
  </sheetViews>
  <sheetFormatPr defaultRowHeight="15"/>
  <cols>
    <col min="1" max="1" width="36.5703125" bestFit="1" customWidth="1"/>
    <col min="2" max="2" width="35.140625" bestFit="1" customWidth="1"/>
    <col min="3" max="3" width="11.5703125" bestFit="1" customWidth="1"/>
    <col min="4" max="4" width="25.85546875" customWidth="1"/>
    <col min="5" max="5" width="20.5703125" bestFit="1" customWidth="1"/>
    <col min="6" max="7" width="23.140625" bestFit="1" customWidth="1"/>
    <col min="8" max="8" width="29.28515625" bestFit="1" customWidth="1"/>
    <col min="9" max="9" width="20.7109375" bestFit="1" customWidth="1"/>
    <col min="10" max="11" width="10" bestFit="1" customWidth="1"/>
    <col min="12" max="12" width="11.140625" bestFit="1" customWidth="1"/>
  </cols>
  <sheetData>
    <row r="1" spans="1:10">
      <c r="A1" s="10" t="s">
        <v>0</v>
      </c>
      <c r="B1" s="19">
        <v>2024</v>
      </c>
    </row>
    <row r="3" spans="1:10">
      <c r="A3" s="10" t="s">
        <v>1</v>
      </c>
      <c r="B3" s="10" t="s">
        <v>2</v>
      </c>
      <c r="C3" s="10" t="s">
        <v>3</v>
      </c>
      <c r="D3" s="10" t="s">
        <v>4</v>
      </c>
      <c r="E3" s="10" t="s">
        <v>6</v>
      </c>
      <c r="F3" s="10" t="s">
        <v>5</v>
      </c>
      <c r="G3" s="10" t="s">
        <v>7</v>
      </c>
      <c r="H3" s="10" t="s">
        <v>8</v>
      </c>
      <c r="I3" s="10" t="s">
        <v>9</v>
      </c>
      <c r="J3" s="10" t="s">
        <v>10</v>
      </c>
    </row>
    <row r="4" spans="1:10">
      <c r="A4" s="11">
        <v>775</v>
      </c>
      <c r="B4" s="11">
        <v>1891</v>
      </c>
      <c r="C4" s="11">
        <v>26</v>
      </c>
      <c r="D4" s="11">
        <v>179</v>
      </c>
      <c r="E4" s="11">
        <v>426</v>
      </c>
      <c r="F4" s="11">
        <v>447</v>
      </c>
      <c r="G4" s="11">
        <v>62</v>
      </c>
      <c r="H4" s="11">
        <v>97995</v>
      </c>
      <c r="I4">
        <v>1634</v>
      </c>
      <c r="J4" s="11">
        <v>14</v>
      </c>
    </row>
    <row r="5" spans="1:10">
      <c r="I5" t="s">
        <v>17</v>
      </c>
    </row>
    <row r="6" spans="1:10">
      <c r="H6" s="11" t="s">
        <v>18</v>
      </c>
    </row>
    <row r="7" spans="1:10">
      <c r="G7" s="11" t="s">
        <v>19</v>
      </c>
    </row>
    <row r="8" spans="1:10">
      <c r="F8" s="11" t="s">
        <v>20</v>
      </c>
    </row>
    <row r="9" spans="1:10">
      <c r="E9" s="11" t="s">
        <v>21</v>
      </c>
    </row>
    <row r="10" spans="1:10">
      <c r="D10" s="11" t="s">
        <v>22</v>
      </c>
    </row>
    <row r="11" spans="1:10">
      <c r="C11" s="11" t="s">
        <v>23</v>
      </c>
    </row>
    <row r="12" spans="1:10">
      <c r="B12" s="11" t="s">
        <v>24</v>
      </c>
    </row>
    <row r="13" spans="1:10">
      <c r="A13" s="11" t="s">
        <v>25</v>
      </c>
    </row>
    <row r="17" spans="1:2">
      <c r="A17" s="13" t="str" cm="1">
        <f t="array" ref="A17:A26">_xlfn.TOCOL(A3:J3 &amp; "|" &amp; A4:J4, 1)</f>
        <v>Offensive and Illegal Content|775</v>
      </c>
    </row>
    <row r="18" spans="1:2">
      <c r="A18" t="str">
        <v>Malware|1891</v>
      </c>
    </row>
    <row r="19" spans="1:2">
      <c r="A19" t="str">
        <v>Information Gathering|26</v>
      </c>
    </row>
    <row r="20" spans="1:2">
      <c r="A20" t="str">
        <v>Intrusion Attempts|179</v>
      </c>
    </row>
    <row r="21" spans="1:2">
      <c r="A21" t="str">
        <v>Resource Availability|426</v>
      </c>
    </row>
    <row r="22" spans="1:2">
      <c r="A22" t="str">
        <v>Successful Intrusions|447</v>
      </c>
    </row>
    <row r="23" spans="1:2">
      <c r="A23" t="str">
        <v>Information Security Attacks|62</v>
      </c>
    </row>
    <row r="24" spans="1:2">
      <c r="A24" t="str">
        <v>Fraudulent Activity|97995</v>
      </c>
    </row>
    <row r="25" spans="1:2">
      <c r="A25" t="str">
        <v>Vulnerable Services|1634</v>
      </c>
    </row>
    <row r="26" spans="1:2">
      <c r="A26" t="str">
        <v>Others|14</v>
      </c>
    </row>
    <row r="29" spans="1:2">
      <c r="A29" t="str">
        <f>LEFT(A17, FIND("|", A17) -1 )</f>
        <v>Offensive and Illegal Content</v>
      </c>
      <c r="B29" t="str">
        <f>RIGHT(A17, LEN(A17) - FIND("|", A17) )</f>
        <v>775</v>
      </c>
    </row>
    <row r="30" spans="1:2">
      <c r="A30" t="str">
        <f t="shared" ref="A30:A38" si="0">LEFT(A18, FIND("|", A18) -1 )</f>
        <v>Malware</v>
      </c>
      <c r="B30" t="str">
        <f t="shared" ref="B30:B38" si="1">RIGHT(A18, LEN(A18) - FIND("|", A18) )</f>
        <v>1891</v>
      </c>
    </row>
    <row r="31" spans="1:2">
      <c r="A31" t="str">
        <f t="shared" si="0"/>
        <v>Information Gathering</v>
      </c>
      <c r="B31" t="str">
        <f t="shared" si="1"/>
        <v>26</v>
      </c>
    </row>
    <row r="32" spans="1:2">
      <c r="A32" t="str">
        <f t="shared" si="0"/>
        <v>Intrusion Attempts</v>
      </c>
      <c r="B32" t="str">
        <f t="shared" si="1"/>
        <v>179</v>
      </c>
    </row>
    <row r="33" spans="1:5">
      <c r="A33" t="str">
        <f t="shared" si="0"/>
        <v>Resource Availability</v>
      </c>
      <c r="B33" t="str">
        <f t="shared" si="1"/>
        <v>426</v>
      </c>
    </row>
    <row r="34" spans="1:5">
      <c r="A34" t="str">
        <f t="shared" si="0"/>
        <v>Successful Intrusions</v>
      </c>
      <c r="B34" t="str">
        <f t="shared" si="1"/>
        <v>447</v>
      </c>
    </row>
    <row r="35" spans="1:5">
      <c r="A35" t="str">
        <f t="shared" si="0"/>
        <v>Information Security Attacks</v>
      </c>
      <c r="B35" t="str">
        <f t="shared" si="1"/>
        <v>62</v>
      </c>
    </row>
    <row r="36" spans="1:5">
      <c r="A36" t="str">
        <f t="shared" si="0"/>
        <v>Fraudulent Activity</v>
      </c>
      <c r="B36" t="str">
        <f t="shared" si="1"/>
        <v>97995</v>
      </c>
    </row>
    <row r="37" spans="1:5">
      <c r="A37" t="str">
        <f t="shared" si="0"/>
        <v>Vulnerable Services</v>
      </c>
      <c r="B37" t="str">
        <f t="shared" si="1"/>
        <v>1634</v>
      </c>
    </row>
    <row r="38" spans="1:5">
      <c r="A38" t="str">
        <f t="shared" si="0"/>
        <v>Others</v>
      </c>
      <c r="B38" t="str">
        <f t="shared" si="1"/>
        <v>14</v>
      </c>
    </row>
    <row r="41" spans="1:5">
      <c r="A41" t="s">
        <v>26</v>
      </c>
      <c r="B41" t="s">
        <v>27</v>
      </c>
      <c r="D41" t="s">
        <v>26</v>
      </c>
      <c r="E41" t="s">
        <v>28</v>
      </c>
    </row>
    <row r="42" spans="1:5">
      <c r="A42" t="s">
        <v>10</v>
      </c>
      <c r="B42" s="11">
        <v>14</v>
      </c>
      <c r="D42" t="s">
        <v>10</v>
      </c>
      <c r="E42" s="20">
        <f>B42/B$52</f>
        <v>1.3533238600663128E-4</v>
      </c>
    </row>
    <row r="43" spans="1:5">
      <c r="A43" t="s">
        <v>3</v>
      </c>
      <c r="B43" s="11">
        <v>26</v>
      </c>
      <c r="D43" t="s">
        <v>3</v>
      </c>
      <c r="E43" s="20">
        <f t="shared" ref="E43:E51" si="2">B43/B$52</f>
        <v>2.5133157401231526E-4</v>
      </c>
    </row>
    <row r="44" spans="1:5">
      <c r="A44" t="s">
        <v>7</v>
      </c>
      <c r="B44" s="11">
        <v>62</v>
      </c>
      <c r="D44" t="s">
        <v>7</v>
      </c>
      <c r="E44" s="20">
        <f t="shared" si="2"/>
        <v>5.9932913802936713E-4</v>
      </c>
    </row>
    <row r="45" spans="1:5">
      <c r="A45" t="s">
        <v>4</v>
      </c>
      <c r="B45" s="11">
        <v>179</v>
      </c>
      <c r="D45" t="s">
        <v>4</v>
      </c>
      <c r="E45" s="20">
        <f t="shared" si="2"/>
        <v>1.7303212210847858E-3</v>
      </c>
    </row>
    <row r="46" spans="1:5">
      <c r="A46" t="s">
        <v>6</v>
      </c>
      <c r="B46" s="11">
        <v>426</v>
      </c>
      <c r="D46" t="s">
        <v>6</v>
      </c>
      <c r="E46" s="20">
        <f t="shared" si="2"/>
        <v>4.1179711742017804E-3</v>
      </c>
    </row>
    <row r="47" spans="1:5">
      <c r="A47" t="s">
        <v>5</v>
      </c>
      <c r="B47" s="11">
        <v>447</v>
      </c>
      <c r="D47" t="s">
        <v>5</v>
      </c>
      <c r="E47" s="20">
        <f t="shared" si="2"/>
        <v>4.3209697532117274E-3</v>
      </c>
    </row>
    <row r="48" spans="1:5">
      <c r="A48" t="s">
        <v>1</v>
      </c>
      <c r="B48" s="11">
        <v>775</v>
      </c>
      <c r="D48" t="s">
        <v>1</v>
      </c>
      <c r="E48" s="20">
        <f t="shared" si="2"/>
        <v>7.4916142253670893E-3</v>
      </c>
    </row>
    <row r="49" spans="1:5">
      <c r="A49" t="s">
        <v>9</v>
      </c>
      <c r="B49" s="11">
        <v>1634</v>
      </c>
      <c r="D49" t="s">
        <v>9</v>
      </c>
      <c r="E49" s="20">
        <f t="shared" si="2"/>
        <v>1.5795222766773965E-2</v>
      </c>
    </row>
    <row r="50" spans="1:5">
      <c r="A50" t="s">
        <v>2</v>
      </c>
      <c r="B50" s="11">
        <v>1891</v>
      </c>
      <c r="D50" t="s">
        <v>2</v>
      </c>
      <c r="E50" s="20">
        <f t="shared" si="2"/>
        <v>1.8279538709895696E-2</v>
      </c>
    </row>
    <row r="51" spans="1:5">
      <c r="A51" t="s">
        <v>8</v>
      </c>
      <c r="B51" s="11">
        <v>97995</v>
      </c>
      <c r="D51" t="s">
        <v>8</v>
      </c>
      <c r="E51" s="20">
        <f t="shared" si="2"/>
        <v>0.9472783690514166</v>
      </c>
    </row>
    <row r="52" spans="1:5">
      <c r="B52" s="11">
        <f>SUM(B42:B51)</f>
        <v>103449</v>
      </c>
    </row>
  </sheetData>
  <sortState xmlns:xlrd2="http://schemas.microsoft.com/office/spreadsheetml/2017/richdata2" ref="A42:B51">
    <sortCondition ref="B42:B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C81E-0A11-4C13-919D-CE8CED4C80C6}">
  <dimension ref="A1:F11"/>
  <sheetViews>
    <sheetView workbookViewId="0">
      <selection sqref="A1:F11"/>
    </sheetView>
  </sheetViews>
  <sheetFormatPr defaultRowHeight="15"/>
  <cols>
    <col min="2" max="2" width="17" customWidth="1"/>
    <col min="4" max="4" width="18" customWidth="1"/>
    <col min="5" max="5" width="25.7109375" customWidth="1"/>
    <col min="6" max="6" width="19.140625" customWidth="1"/>
  </cols>
  <sheetData>
    <row r="1" spans="1:6">
      <c r="A1" s="1" t="s">
        <v>0</v>
      </c>
      <c r="B1" s="2" t="s">
        <v>8</v>
      </c>
      <c r="C1" s="2" t="s">
        <v>2</v>
      </c>
      <c r="D1" s="2" t="s">
        <v>9</v>
      </c>
      <c r="E1" s="2" t="s">
        <v>1</v>
      </c>
      <c r="F1" s="2" t="s">
        <v>5</v>
      </c>
    </row>
    <row r="2" spans="1:6">
      <c r="A2" s="4">
        <v>2024</v>
      </c>
      <c r="B2" s="6">
        <v>97995</v>
      </c>
      <c r="C2" s="6">
        <v>1891</v>
      </c>
      <c r="D2" s="6">
        <v>1634</v>
      </c>
      <c r="E2" s="6">
        <v>775</v>
      </c>
      <c r="F2" s="6">
        <v>447</v>
      </c>
    </row>
    <row r="3" spans="1:6">
      <c r="A3" s="4">
        <v>2023</v>
      </c>
      <c r="B3" s="6">
        <v>75917</v>
      </c>
      <c r="C3" s="6">
        <v>1650</v>
      </c>
      <c r="D3" s="6">
        <v>964</v>
      </c>
      <c r="E3" s="6">
        <v>584</v>
      </c>
      <c r="F3" s="6">
        <v>418</v>
      </c>
    </row>
    <row r="4" spans="1:6">
      <c r="A4" s="4">
        <v>2022</v>
      </c>
      <c r="B4" s="6">
        <v>35009</v>
      </c>
      <c r="C4" s="6">
        <v>3409</v>
      </c>
      <c r="D4" s="6">
        <v>188</v>
      </c>
      <c r="E4" s="6">
        <v>308</v>
      </c>
      <c r="F4" s="6">
        <v>354</v>
      </c>
    </row>
    <row r="5" spans="1:6">
      <c r="A5" s="4">
        <v>2021</v>
      </c>
      <c r="B5" s="6">
        <v>25472</v>
      </c>
      <c r="C5" s="6">
        <v>2847</v>
      </c>
      <c r="D5" s="6">
        <v>216</v>
      </c>
      <c r="E5" s="6">
        <v>311</v>
      </c>
      <c r="F5" s="6">
        <v>247</v>
      </c>
    </row>
    <row r="6" spans="1:6">
      <c r="A6" s="4">
        <v>2020</v>
      </c>
      <c r="B6" s="6">
        <v>8310</v>
      </c>
      <c r="C6" s="6">
        <v>746</v>
      </c>
      <c r="D6" s="6">
        <v>211</v>
      </c>
      <c r="E6" s="6">
        <v>371</v>
      </c>
      <c r="F6" s="6">
        <v>317</v>
      </c>
    </row>
    <row r="7" spans="1:6">
      <c r="A7" s="4">
        <v>2019</v>
      </c>
      <c r="B7" s="6">
        <v>4086</v>
      </c>
      <c r="C7" s="6">
        <v>969</v>
      </c>
      <c r="D7" s="6">
        <v>102</v>
      </c>
      <c r="E7" s="6">
        <v>812</v>
      </c>
      <c r="F7" s="6">
        <v>160</v>
      </c>
    </row>
    <row r="8" spans="1:6">
      <c r="A8" s="4">
        <v>2018</v>
      </c>
      <c r="B8" s="6">
        <v>1878</v>
      </c>
      <c r="C8" s="6">
        <v>862</v>
      </c>
      <c r="D8" s="6">
        <v>69</v>
      </c>
      <c r="E8" s="6">
        <v>431</v>
      </c>
      <c r="F8" s="6">
        <v>125</v>
      </c>
    </row>
    <row r="9" spans="1:6">
      <c r="A9" s="4">
        <v>2017</v>
      </c>
      <c r="B9" s="6">
        <v>1439</v>
      </c>
      <c r="C9" s="6">
        <v>854</v>
      </c>
      <c r="D9" s="6">
        <v>24</v>
      </c>
      <c r="E9" s="6">
        <v>195</v>
      </c>
      <c r="F9" s="6">
        <v>118</v>
      </c>
    </row>
    <row r="10" spans="1:6">
      <c r="A10" s="4">
        <v>2016</v>
      </c>
      <c r="B10" s="6">
        <v>1069</v>
      </c>
      <c r="C10" s="6">
        <v>211</v>
      </c>
      <c r="D10" s="6"/>
      <c r="E10" s="6">
        <v>237</v>
      </c>
      <c r="F10" s="6">
        <v>54</v>
      </c>
    </row>
    <row r="11" spans="1:6">
      <c r="A11" s="5">
        <v>2015</v>
      </c>
      <c r="B11" s="8">
        <v>611</v>
      </c>
      <c r="C11" s="8">
        <v>142</v>
      </c>
      <c r="D11" s="8"/>
      <c r="E11" s="8">
        <v>146</v>
      </c>
      <c r="F11" s="8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3BED-9BE4-4BAE-A6C0-A44D4DAF2B87}">
  <dimension ref="O2:Q14"/>
  <sheetViews>
    <sheetView tabSelected="1" workbookViewId="0">
      <selection activeCell="N58" sqref="N58"/>
    </sheetView>
  </sheetViews>
  <sheetFormatPr defaultRowHeight="15"/>
  <cols>
    <col min="16" max="16" width="19.5703125" bestFit="1" customWidth="1"/>
  </cols>
  <sheetData>
    <row r="2" spans="15:17">
      <c r="O2" s="21" t="s">
        <v>29</v>
      </c>
      <c r="P2" s="21"/>
      <c r="Q2" s="21"/>
    </row>
    <row r="4" spans="15:17">
      <c r="O4" s="18" t="s">
        <v>0</v>
      </c>
      <c r="P4" s="18" t="s">
        <v>30</v>
      </c>
      <c r="Q4" s="18" t="s">
        <v>31</v>
      </c>
    </row>
    <row r="5" spans="15:17">
      <c r="O5" s="15">
        <v>2015</v>
      </c>
      <c r="P5" s="16">
        <v>1456</v>
      </c>
      <c r="Q5" s="15" t="e">
        <f>NA()</f>
        <v>#N/A</v>
      </c>
    </row>
    <row r="6" spans="15:17">
      <c r="O6" s="15">
        <v>2016</v>
      </c>
      <c r="P6" s="16">
        <v>1926</v>
      </c>
      <c r="Q6" s="17">
        <f>(P6-P5)/P5</f>
        <v>0.32280219780219782</v>
      </c>
    </row>
    <row r="7" spans="15:17">
      <c r="O7" s="15">
        <v>2017</v>
      </c>
      <c r="P7" s="16">
        <v>3182</v>
      </c>
      <c r="Q7" s="17">
        <f>(P7-P6)/P6</f>
        <v>0.65212876427829702</v>
      </c>
    </row>
    <row r="8" spans="15:17">
      <c r="O8" s="15">
        <v>2018</v>
      </c>
      <c r="P8" s="16">
        <v>3739</v>
      </c>
      <c r="Q8" s="17">
        <f>(P8-P7)/P7</f>
        <v>0.17504714016341924</v>
      </c>
    </row>
    <row r="9" spans="15:17">
      <c r="O9" s="15">
        <v>2019</v>
      </c>
      <c r="P9" s="16">
        <v>6484</v>
      </c>
      <c r="Q9" s="17">
        <f>(P9-P8)/P8</f>
        <v>0.73415351698315057</v>
      </c>
    </row>
    <row r="10" spans="15:17">
      <c r="O10" s="15">
        <v>2020</v>
      </c>
      <c r="P10" s="16">
        <v>10420</v>
      </c>
      <c r="Q10" s="17">
        <f>(P10-P9)/P9</f>
        <v>0.60703269586674891</v>
      </c>
    </row>
    <row r="11" spans="15:17">
      <c r="O11" s="15">
        <v>2021</v>
      </c>
      <c r="P11" s="16">
        <v>29483</v>
      </c>
      <c r="Q11" s="17">
        <f>(P11-P10)/P10</f>
        <v>1.8294625719769673</v>
      </c>
    </row>
    <row r="12" spans="15:17">
      <c r="O12" s="15">
        <v>2022</v>
      </c>
      <c r="P12" s="16">
        <v>39683</v>
      </c>
      <c r="Q12" s="17">
        <f>(P12-P11)/P11</f>
        <v>0.34596207984262117</v>
      </c>
    </row>
    <row r="13" spans="15:17">
      <c r="O13" s="15">
        <v>2023</v>
      </c>
      <c r="P13" s="16">
        <v>80267</v>
      </c>
      <c r="Q13" s="17">
        <f>(P13-P12)/P12</f>
        <v>1.0227049366227352</v>
      </c>
    </row>
    <row r="14" spans="15:17">
      <c r="O14" s="15">
        <v>2024</v>
      </c>
      <c r="P14" s="16">
        <v>103449</v>
      </c>
      <c r="Q14" s="17">
        <f>(P14-P13)/P13</f>
        <v>0.28881109297718865</v>
      </c>
    </row>
  </sheetData>
  <mergeCells count="1">
    <mergeCell ref="O2:Q2"/>
  </mergeCells>
  <conditionalFormatting sqref="Q5:Q14">
    <cfRule type="cellIs" dxfId="0" priority="1" operator="greaterThan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2025-11-26T13:37:09Z</dcterms:created>
  <dcterms:modified xsi:type="dcterms:W3CDTF">2025-11-26T21:03:34Z</dcterms:modified>
  <cp:category/>
  <cp:contentStatus/>
</cp:coreProperties>
</file>